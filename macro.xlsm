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UERN\transferidos\Dissertação\Git\"/>
    </mc:Choice>
  </mc:AlternateContent>
  <xr:revisionPtr revIDLastSave="0" documentId="13_ncr:1_{964B9923-B6CC-4FC4-BEFC-66800013F6AD}" xr6:coauthVersionLast="47" xr6:coauthVersionMax="47" xr10:uidLastSave="{00000000-0000-0000-0000-000000000000}"/>
  <bookViews>
    <workbookView xWindow="-120" yWindow="-120" windowWidth="20730" windowHeight="11310" xr2:uid="{76A1C5E8-630F-4C90-885B-33632FAC20C9}"/>
  </bookViews>
  <sheets>
    <sheet name="painel" sheetId="1" r:id="rId1"/>
    <sheet name="paises" sheetId="2" r:id="rId2"/>
    <sheet name="segmento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1" l="1"/>
  <c r="H2" i="1"/>
  <c r="B2" i="1"/>
  <c r="B1" i="1"/>
  <c r="B5" i="1" l="1"/>
  <c r="A9" i="1" s="1"/>
  <c r="B4" i="1"/>
</calcChain>
</file>

<file path=xl/sharedStrings.xml><?xml version="1.0" encoding="utf-8"?>
<sst xmlns="http://schemas.openxmlformats.org/spreadsheetml/2006/main" count="58" uniqueCount="56">
  <si>
    <t>9e6dfa74c418480f099c478a0b72f29f</t>
  </si>
  <si>
    <t>key_api</t>
  </si>
  <si>
    <t>tags</t>
  </si>
  <si>
    <t>brazil</t>
  </si>
  <si>
    <t>china</t>
  </si>
  <si>
    <t>argentina</t>
  </si>
  <si>
    <t>turkey</t>
  </si>
  <si>
    <t>france</t>
  </si>
  <si>
    <t>canada</t>
  </si>
  <si>
    <t>australia</t>
  </si>
  <si>
    <t>mexico</t>
  </si>
  <si>
    <t>spain</t>
  </si>
  <si>
    <t>germany</t>
  </si>
  <si>
    <t>belgium</t>
  </si>
  <si>
    <t>israel</t>
  </si>
  <si>
    <t>india</t>
  </si>
  <si>
    <t>italy</t>
  </si>
  <si>
    <t>indonesia</t>
  </si>
  <si>
    <t>japan</t>
  </si>
  <si>
    <t>austria</t>
  </si>
  <si>
    <t>malaysia</t>
  </si>
  <si>
    <t>singapore</t>
  </si>
  <si>
    <t>hong kong</t>
  </si>
  <si>
    <t>denmark</t>
  </si>
  <si>
    <t>philippines</t>
  </si>
  <si>
    <t>norway</t>
  </si>
  <si>
    <t>egypt</t>
  </si>
  <si>
    <t>ireland</t>
  </si>
  <si>
    <t>united arab emirates</t>
  </si>
  <si>
    <t>thailand</t>
  </si>
  <si>
    <t>sweden</t>
  </si>
  <si>
    <t>poland</t>
  </si>
  <si>
    <t>saudi arabia</t>
  </si>
  <si>
    <t>switzerland</t>
  </si>
  <si>
    <t>netherlands</t>
  </si>
  <si>
    <t>russia</t>
  </si>
  <si>
    <t>united kingdom</t>
  </si>
  <si>
    <t>united states</t>
  </si>
  <si>
    <t>*</t>
  </si>
  <si>
    <t>korea</t>
  </si>
  <si>
    <t>arabia</t>
  </si>
  <si>
    <t>emirat</t>
  </si>
  <si>
    <t>usa</t>
  </si>
  <si>
    <t>monetary</t>
  </si>
  <si>
    <t>employment</t>
  </si>
  <si>
    <t>unemployment</t>
  </si>
  <si>
    <t>rate</t>
  </si>
  <si>
    <t>bills</t>
  </si>
  <si>
    <t>País</t>
  </si>
  <si>
    <t>Segmento</t>
  </si>
  <si>
    <t>Frequência</t>
  </si>
  <si>
    <t>Contador</t>
  </si>
  <si>
    <t>Qtd</t>
  </si>
  <si>
    <t>file_name</t>
  </si>
  <si>
    <t>liste abaixo (coluna A) os segmentos desejados</t>
  </si>
  <si>
    <t>liste abaixo (coluna A) os paises desejados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</si>
</sst>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DBD24-81F7-452A-998F-3C3E637D641E}">
  <sheetPr codeName="Planilha1">
    <tabColor theme="1"/>
  </sheetPr>
  <dimension ref="A1:L28"/>
  <sheetViews>
    <sheetView tabSelected="1" workbookViewId="0">
      <selection activeCell="C18" sqref="C18"/>
    </sheetView>
  </sheetViews>
  <sheetFormatPr defaultRowHeight="11.25" x14ac:dyDescent="0.2"/>
  <sheetData>
    <row r="1" spans="1:8" x14ac:dyDescent="0.2">
      <c r="A1" t="s">
        <v>48</v>
      </c>
      <c r="B1" t="str">
        <f>INDEX(paises!A:A,painel!G2)</f>
        <v>emirat</v>
      </c>
      <c r="G1" t="s">
        <v>51</v>
      </c>
      <c r="H1" t="s">
        <v>52</v>
      </c>
    </row>
    <row r="2" spans="1:8" x14ac:dyDescent="0.2">
      <c r="A2" t="s">
        <v>49</v>
      </c>
      <c r="B2" t="str">
        <f>INDEX(segmentos!A:A,painel!G3)</f>
        <v>bills</v>
      </c>
      <c r="F2" t="s">
        <v>48</v>
      </c>
      <c r="G2">
        <v>39</v>
      </c>
      <c r="H2">
        <f>COUNTA(paises!A:A)</f>
        <v>39</v>
      </c>
    </row>
    <row r="3" spans="1:8" x14ac:dyDescent="0.2">
      <c r="A3" t="s">
        <v>50</v>
      </c>
      <c r="F3" t="s">
        <v>49</v>
      </c>
      <c r="G3">
        <v>5</v>
      </c>
      <c r="H3">
        <f>COUNTA(segmentos!A:A)</f>
        <v>5</v>
      </c>
    </row>
    <row r="4" spans="1:8" x14ac:dyDescent="0.2">
      <c r="A4" t="s">
        <v>53</v>
      </c>
      <c r="B4" t="str">
        <f>B1&amp;"__"&amp;B2</f>
        <v>emirat__bills</v>
      </c>
    </row>
    <row r="5" spans="1:8" x14ac:dyDescent="0.2">
      <c r="A5" t="s">
        <v>2</v>
      </c>
      <c r="B5" t="str">
        <f>B1&amp;";"&amp;B2&amp;IF(B3&lt;&gt;"",";"&amp;B3,"")</f>
        <v>emirat;bills</v>
      </c>
    </row>
    <row r="6" spans="1:8" x14ac:dyDescent="0.2">
      <c r="A6" t="s">
        <v>1</v>
      </c>
      <c r="B6" t="s">
        <v>0</v>
      </c>
    </row>
    <row r="9" spans="1:8" x14ac:dyDescent="0.2">
      <c r="A9" t="str">
        <f>"https://api.stlouisfed.org/fred/tags/series?tag_names="&amp;B5&amp;"&amp;api_key="&amp;B6</f>
        <v>https://api.stlouisfed.org/fred/tags/series?tag_names=emirat;bills&amp;api_key=9e6dfa74c418480f099c478a0b72f29f</v>
      </c>
    </row>
    <row r="28" spans="12:12" x14ac:dyDescent="0.2">
      <c r="L28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C598-5C70-4FD3-9569-B38B195BBC2D}">
  <sheetPr codeName="Planilha2">
    <tabColor rgb="FFFFC000"/>
  </sheetPr>
  <dimension ref="A1:C39"/>
  <sheetViews>
    <sheetView workbookViewId="0">
      <selection activeCell="C2" sqref="C2"/>
    </sheetView>
  </sheetViews>
  <sheetFormatPr defaultRowHeight="11.25" x14ac:dyDescent="0.2"/>
  <sheetData>
    <row r="1" spans="1:3" x14ac:dyDescent="0.2">
      <c r="A1" t="s">
        <v>4</v>
      </c>
      <c r="C1" t="s">
        <v>55</v>
      </c>
    </row>
    <row r="2" spans="1:3" x14ac:dyDescent="0.2">
      <c r="A2" t="s">
        <v>3</v>
      </c>
    </row>
    <row r="3" spans="1:3" x14ac:dyDescent="0.2">
      <c r="A3" t="s">
        <v>5</v>
      </c>
    </row>
    <row r="4" spans="1:3" x14ac:dyDescent="0.2">
      <c r="A4" t="s">
        <v>6</v>
      </c>
    </row>
    <row r="5" spans="1:3" x14ac:dyDescent="0.2">
      <c r="A5" t="s">
        <v>7</v>
      </c>
    </row>
    <row r="6" spans="1:3" x14ac:dyDescent="0.2">
      <c r="A6" t="s">
        <v>8</v>
      </c>
    </row>
    <row r="7" spans="1:3" x14ac:dyDescent="0.2">
      <c r="A7" t="s">
        <v>9</v>
      </c>
    </row>
    <row r="8" spans="1:3" x14ac:dyDescent="0.2">
      <c r="A8" t="s">
        <v>10</v>
      </c>
    </row>
    <row r="9" spans="1:3" x14ac:dyDescent="0.2">
      <c r="A9" t="s">
        <v>11</v>
      </c>
    </row>
    <row r="10" spans="1:3" x14ac:dyDescent="0.2">
      <c r="A10" t="s">
        <v>12</v>
      </c>
    </row>
    <row r="11" spans="1:3" x14ac:dyDescent="0.2">
      <c r="A11" t="s">
        <v>13</v>
      </c>
    </row>
    <row r="12" spans="1:3" x14ac:dyDescent="0.2">
      <c r="A12" t="s">
        <v>14</v>
      </c>
    </row>
    <row r="13" spans="1:3" x14ac:dyDescent="0.2">
      <c r="A13" t="s">
        <v>15</v>
      </c>
    </row>
    <row r="14" spans="1:3" x14ac:dyDescent="0.2">
      <c r="A14" t="s">
        <v>16</v>
      </c>
    </row>
    <row r="15" spans="1:3" x14ac:dyDescent="0.2">
      <c r="A15" t="s">
        <v>17</v>
      </c>
    </row>
    <row r="16" spans="1:3" x14ac:dyDescent="0.2">
      <c r="A16" t="s">
        <v>18</v>
      </c>
    </row>
    <row r="17" spans="1:1" x14ac:dyDescent="0.2">
      <c r="A17" t="s">
        <v>19</v>
      </c>
    </row>
    <row r="18" spans="1:1" x14ac:dyDescent="0.2">
      <c r="A18" t="s">
        <v>20</v>
      </c>
    </row>
    <row r="19" spans="1:1" x14ac:dyDescent="0.2">
      <c r="A19" t="s">
        <v>21</v>
      </c>
    </row>
    <row r="20" spans="1:1" x14ac:dyDescent="0.2">
      <c r="A20" t="s">
        <v>23</v>
      </c>
    </row>
    <row r="21" spans="1:1" x14ac:dyDescent="0.2">
      <c r="A21" t="s">
        <v>24</v>
      </c>
    </row>
    <row r="22" spans="1:1" x14ac:dyDescent="0.2">
      <c r="A22" t="s">
        <v>25</v>
      </c>
    </row>
    <row r="23" spans="1:1" x14ac:dyDescent="0.2">
      <c r="A23" t="s">
        <v>26</v>
      </c>
    </row>
    <row r="24" spans="1:1" x14ac:dyDescent="0.2">
      <c r="A24" t="s">
        <v>27</v>
      </c>
    </row>
    <row r="25" spans="1:1" x14ac:dyDescent="0.2">
      <c r="A25" t="s">
        <v>29</v>
      </c>
    </row>
    <row r="26" spans="1:1" x14ac:dyDescent="0.2">
      <c r="A26" t="s">
        <v>30</v>
      </c>
    </row>
    <row r="27" spans="1:1" x14ac:dyDescent="0.2">
      <c r="A27" t="s">
        <v>31</v>
      </c>
    </row>
    <row r="28" spans="1:1" x14ac:dyDescent="0.2">
      <c r="A28" t="s">
        <v>33</v>
      </c>
    </row>
    <row r="29" spans="1:1" x14ac:dyDescent="0.2">
      <c r="A29" t="s">
        <v>34</v>
      </c>
    </row>
    <row r="30" spans="1:1" x14ac:dyDescent="0.2">
      <c r="A30" t="s">
        <v>35</v>
      </c>
    </row>
    <row r="31" spans="1:1" x14ac:dyDescent="0.2">
      <c r="A31" t="s">
        <v>22</v>
      </c>
    </row>
    <row r="32" spans="1:1" x14ac:dyDescent="0.2">
      <c r="A32" t="s">
        <v>28</v>
      </c>
    </row>
    <row r="33" spans="1:1" x14ac:dyDescent="0.2">
      <c r="A33" t="s">
        <v>32</v>
      </c>
    </row>
    <row r="34" spans="1:1" x14ac:dyDescent="0.2">
      <c r="A34" t="s">
        <v>36</v>
      </c>
    </row>
    <row r="35" spans="1:1" x14ac:dyDescent="0.2">
      <c r="A35" t="s">
        <v>39</v>
      </c>
    </row>
    <row r="36" spans="1:1" x14ac:dyDescent="0.2">
      <c r="A36" t="s">
        <v>37</v>
      </c>
    </row>
    <row r="37" spans="1:1" x14ac:dyDescent="0.2">
      <c r="A37" t="s">
        <v>42</v>
      </c>
    </row>
    <row r="38" spans="1:1" x14ac:dyDescent="0.2">
      <c r="A38" t="s">
        <v>40</v>
      </c>
    </row>
    <row r="39" spans="1:1" x14ac:dyDescent="0.2">
      <c r="A39" t="s">
        <v>41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96501-93EA-4F2D-B228-64ED21D5346D}">
  <sheetPr codeName="Planilha3">
    <tabColor rgb="FFFF0000"/>
  </sheetPr>
  <dimension ref="A1:C5"/>
  <sheetViews>
    <sheetView workbookViewId="0">
      <selection activeCell="C2" sqref="C2"/>
    </sheetView>
  </sheetViews>
  <sheetFormatPr defaultRowHeight="11.25" x14ac:dyDescent="0.2"/>
  <cols>
    <col min="1" max="1" width="12.6640625" bestFit="1" customWidth="1"/>
  </cols>
  <sheetData>
    <row r="1" spans="1:3" x14ac:dyDescent="0.2">
      <c r="A1" t="s">
        <v>43</v>
      </c>
      <c r="C1" t="s">
        <v>54</v>
      </c>
    </row>
    <row r="2" spans="1:3" x14ac:dyDescent="0.2">
      <c r="A2" t="s">
        <v>44</v>
      </c>
    </row>
    <row r="3" spans="1:3" x14ac:dyDescent="0.2">
      <c r="A3" t="s">
        <v>45</v>
      </c>
    </row>
    <row r="4" spans="1:3" x14ac:dyDescent="0.2">
      <c r="A4" t="s">
        <v>46</v>
      </c>
    </row>
    <row r="5" spans="1:3" x14ac:dyDescent="0.2">
      <c r="A5" t="s">
        <v>47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painel</vt:lpstr>
      <vt:lpstr>paises</vt:lpstr>
      <vt:lpstr>segmentos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Eduardo</dc:creator>
  <cp:lastModifiedBy>Luiz Eduardo</cp:lastModifiedBy>
  <dcterms:created xsi:type="dcterms:W3CDTF">2021-09-04T12:57:20Z</dcterms:created>
  <dcterms:modified xsi:type="dcterms:W3CDTF">2022-11-26T16:07:17Z</dcterms:modified>
</cp:coreProperties>
</file>